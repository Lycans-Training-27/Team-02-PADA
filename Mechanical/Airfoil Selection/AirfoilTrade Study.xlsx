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\Documents\Work\College\Non-Academia\Technical Teams\Lycans\Training\Team Project\Airfoil Selection\"/>
    </mc:Choice>
  </mc:AlternateContent>
  <xr:revisionPtr revIDLastSave="0" documentId="8_{AB6FB1D0-5D22-4E1A-B448-4BADFCD0D7B5}" xr6:coauthVersionLast="47" xr6:coauthVersionMax="47" xr10:uidLastSave="{00000000-0000-0000-0000-000000000000}"/>
  <bookViews>
    <workbookView xWindow="-108" yWindow="-108" windowWidth="23256" windowHeight="13176" xr2:uid="{8FC4DEEE-1FC4-4947-B8E5-EBE0D520B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G12" i="1"/>
  <c r="H21" i="1" l="1"/>
  <c r="I21" i="1"/>
  <c r="G21" i="1"/>
</calcChain>
</file>

<file path=xl/sharedStrings.xml><?xml version="1.0" encoding="utf-8"?>
<sst xmlns="http://schemas.openxmlformats.org/spreadsheetml/2006/main" count="35" uniqueCount="17">
  <si>
    <t>Cl,max</t>
  </si>
  <si>
    <t>Cd,min</t>
  </si>
  <si>
    <t>Stall Variation</t>
  </si>
  <si>
    <t>A</t>
  </si>
  <si>
    <t>B</t>
  </si>
  <si>
    <t>C</t>
  </si>
  <si>
    <t>D</t>
  </si>
  <si>
    <t>E</t>
  </si>
  <si>
    <t>F</t>
  </si>
  <si>
    <t>Parameter</t>
  </si>
  <si>
    <t>No. of occurences</t>
  </si>
  <si>
    <t>Weight</t>
  </si>
  <si>
    <t>Airfoil</t>
  </si>
  <si>
    <t>Sum (weighted)</t>
  </si>
  <si>
    <t>E423</t>
  </si>
  <si>
    <t>S1223</t>
  </si>
  <si>
    <t>NACA 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</si>
</sst>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137160</xdr:colOff>
      <xdr:row>1</xdr:row>
      <xdr:rowOff>175260</xdr:rowOff>
    </xdr:from>
    <xdr:ext cx="359842" cy="1868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7F09A09-BA75-C425-BBE0-CEF2D25F8A80}"/>
                </a:ext>
              </a:extLst>
            </xdr:cNvPr>
            <xdr:cNvSpPr txBox="1"/>
          </xdr:nvSpPr>
          <xdr:spPr>
            <a:xfrm>
              <a:off x="3893820" y="358140"/>
              <a:ext cx="359842" cy="1868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7F09A09-BA75-C425-BBE0-CEF2D25F8A80}"/>
                </a:ext>
              </a:extLst>
            </xdr:cNvPr>
            <xdr:cNvSpPr txBox="1"/>
          </xdr:nvSpPr>
          <xdr:spPr>
            <a:xfrm>
              <a:off x="3893820" y="358140"/>
              <a:ext cx="359842" cy="1868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〖𝐶_𝑙〗_(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𝛼=0)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91440</xdr:colOff>
      <xdr:row>1</xdr:row>
      <xdr:rowOff>160020</xdr:rowOff>
    </xdr:from>
    <xdr:ext cx="460895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C763C1A-416B-55D4-9619-D4200BB511C9}"/>
                </a:ext>
              </a:extLst>
            </xdr:cNvPr>
            <xdr:cNvSpPr txBox="1"/>
          </xdr:nvSpPr>
          <xdr:spPr>
            <a:xfrm>
              <a:off x="5067300" y="342900"/>
              <a:ext cx="460895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C763C1A-416B-55D4-9619-D4200BB511C9}"/>
                </a:ext>
              </a:extLst>
            </xdr:cNvPr>
            <xdr:cNvSpPr txBox="1"/>
          </xdr:nvSpPr>
          <xdr:spPr>
            <a:xfrm>
              <a:off x="5067300" y="342900"/>
              <a:ext cx="460895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_(𝐶_𝑙,𝑚𝑎𝑥)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114300</xdr:colOff>
      <xdr:row>1</xdr:row>
      <xdr:rowOff>160020</xdr:rowOff>
    </xdr:from>
    <xdr:ext cx="403444" cy="1846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576F0C-3906-EFF9-2425-3CDA18D446A2}"/>
                </a:ext>
              </a:extLst>
            </xdr:cNvPr>
            <xdr:cNvSpPr txBox="1"/>
          </xdr:nvSpPr>
          <xdr:spPr>
            <a:xfrm>
              <a:off x="6309360" y="342900"/>
              <a:ext cx="403444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576F0C-3906-EFF9-2425-3CDA18D446A2}"/>
                </a:ext>
              </a:extLst>
            </xdr:cNvPr>
            <xdr:cNvSpPr txBox="1"/>
          </xdr:nvSpPr>
          <xdr:spPr>
            <a:xfrm>
              <a:off x="6309360" y="342900"/>
              <a:ext cx="403444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𝐶_(𝑚_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𝛼=0)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137160</xdr:colOff>
      <xdr:row>13</xdr:row>
      <xdr:rowOff>175260</xdr:rowOff>
    </xdr:from>
    <xdr:ext cx="359842" cy="1868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F6C93D-15A6-4F9C-A6F7-7A1B4B4E0189}"/>
                </a:ext>
              </a:extLst>
            </xdr:cNvPr>
            <xdr:cNvSpPr txBox="1"/>
          </xdr:nvSpPr>
          <xdr:spPr>
            <a:xfrm>
              <a:off x="4366260" y="358140"/>
              <a:ext cx="359842" cy="1868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F6C93D-15A6-4F9C-A6F7-7A1B4B4E0189}"/>
                </a:ext>
              </a:extLst>
            </xdr:cNvPr>
            <xdr:cNvSpPr txBox="1"/>
          </xdr:nvSpPr>
          <xdr:spPr>
            <a:xfrm>
              <a:off x="4366260" y="358140"/>
              <a:ext cx="359842" cy="1868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〖𝐶_𝑙〗_(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𝛼=0)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343231</xdr:colOff>
      <xdr:row>15</xdr:row>
      <xdr:rowOff>153393</xdr:rowOff>
    </xdr:from>
    <xdr:ext cx="460895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639443-C107-4D0B-B9B3-F1F4E3394473}"/>
                </a:ext>
              </a:extLst>
            </xdr:cNvPr>
            <xdr:cNvSpPr txBox="1"/>
          </xdr:nvSpPr>
          <xdr:spPr>
            <a:xfrm>
              <a:off x="3490622" y="2936350"/>
              <a:ext cx="460895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639443-C107-4D0B-B9B3-F1F4E3394473}"/>
                </a:ext>
              </a:extLst>
            </xdr:cNvPr>
            <xdr:cNvSpPr txBox="1"/>
          </xdr:nvSpPr>
          <xdr:spPr>
            <a:xfrm>
              <a:off x="3490622" y="2936350"/>
              <a:ext cx="460895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_(𝐶_𝑙,𝑚𝑎𝑥)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114300</xdr:colOff>
      <xdr:row>17</xdr:row>
      <xdr:rowOff>160020</xdr:rowOff>
    </xdr:from>
    <xdr:ext cx="403444" cy="1846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0E83786-8556-4AA0-8165-0DA93D1A06CA}"/>
                </a:ext>
              </a:extLst>
            </xdr:cNvPr>
            <xdr:cNvSpPr txBox="1"/>
          </xdr:nvSpPr>
          <xdr:spPr>
            <a:xfrm>
              <a:off x="6781800" y="342900"/>
              <a:ext cx="403444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=0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0E83786-8556-4AA0-8165-0DA93D1A06CA}"/>
                </a:ext>
              </a:extLst>
            </xdr:cNvPr>
            <xdr:cNvSpPr txBox="1"/>
          </xdr:nvSpPr>
          <xdr:spPr>
            <a:xfrm>
              <a:off x="6781800" y="342900"/>
              <a:ext cx="403444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𝐶_(𝑚_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𝛼=0)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13</xdr:col>
      <xdr:colOff>216530</xdr:colOff>
      <xdr:row>0</xdr:row>
      <xdr:rowOff>15240</xdr:rowOff>
    </xdr:from>
    <xdr:to>
      <xdr:col>23</xdr:col>
      <xdr:colOff>365759</xdr:colOff>
      <xdr:row>26</xdr:row>
      <xdr:rowOff>53689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C2C53C-9C24-D058-9847-9E38A3FC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4770" y="15240"/>
          <a:ext cx="6245229" cy="479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04FF-A836-4B72-9982-888A30D5AAED}">
  <dimension ref="F3:L21"/>
  <sheetViews>
    <sheetView tabSelected="1" zoomScaleNormal="100" workbookViewId="0">
      <selection activeCell="G21" sqref="G21"/>
    </sheetView>
  </sheetViews>
  <sheetFormatPr defaultRowHeight="14.4" x14ac:dyDescent="0.3"/>
  <cols>
    <col min="1" max="1" width="10.33203125" customWidth="1"/>
    <col min="6" max="6" width="15.77734375" bestFit="1" customWidth="1"/>
    <col min="7" max="7" width="7.5546875" bestFit="1" customWidth="1"/>
    <col min="8" max="8" width="10.109375" bestFit="1" customWidth="1"/>
    <col min="9" max="10" width="9.44140625" bestFit="1" customWidth="1"/>
    <col min="12" max="12" width="12" bestFit="1" customWidth="1"/>
  </cols>
  <sheetData>
    <row r="3" spans="6:12" x14ac:dyDescent="0.3">
      <c r="F3" s="9" t="s">
        <v>9</v>
      </c>
      <c r="G3" s="6"/>
      <c r="H3" s="6" t="s">
        <v>0</v>
      </c>
      <c r="I3" s="6"/>
      <c r="J3" s="6" t="s">
        <v>1</v>
      </c>
      <c r="K3" s="6"/>
      <c r="L3" s="6" t="s">
        <v>2</v>
      </c>
    </row>
    <row r="4" spans="6:12" x14ac:dyDescent="0.3">
      <c r="F4" s="4"/>
      <c r="G4" s="1" t="s">
        <v>3</v>
      </c>
      <c r="H4" s="2" t="s">
        <v>3</v>
      </c>
      <c r="I4" s="2" t="s">
        <v>5</v>
      </c>
      <c r="J4" s="2" t="s">
        <v>3</v>
      </c>
      <c r="K4" s="2" t="s">
        <v>3</v>
      </c>
      <c r="L4" s="2" t="s">
        <v>3</v>
      </c>
    </row>
    <row r="5" spans="6:12" x14ac:dyDescent="0.3">
      <c r="F5" s="4"/>
      <c r="G5" s="4"/>
      <c r="H5" s="1" t="s">
        <v>4</v>
      </c>
      <c r="I5" s="2" t="s">
        <v>4</v>
      </c>
      <c r="J5" s="2" t="s">
        <v>4</v>
      </c>
      <c r="K5" s="2" t="s">
        <v>4</v>
      </c>
      <c r="L5" s="2" t="s">
        <v>4</v>
      </c>
    </row>
    <row r="6" spans="6:12" x14ac:dyDescent="0.3">
      <c r="F6" s="4"/>
      <c r="G6" s="4"/>
      <c r="H6" s="4"/>
      <c r="I6" s="1" t="s">
        <v>5</v>
      </c>
      <c r="J6" s="2" t="s">
        <v>5</v>
      </c>
      <c r="K6" s="2" t="s">
        <v>5</v>
      </c>
      <c r="L6" s="2" t="s">
        <v>5</v>
      </c>
    </row>
    <row r="7" spans="6:12" x14ac:dyDescent="0.3">
      <c r="F7" s="4"/>
      <c r="G7" s="4"/>
      <c r="H7" s="4"/>
      <c r="I7" s="4"/>
      <c r="J7" s="1" t="s">
        <v>6</v>
      </c>
      <c r="K7" s="2" t="s">
        <v>6</v>
      </c>
      <c r="L7" s="2" t="s">
        <v>6</v>
      </c>
    </row>
    <row r="8" spans="6:12" x14ac:dyDescent="0.3">
      <c r="F8" s="4"/>
      <c r="G8" s="4"/>
      <c r="H8" s="4"/>
      <c r="I8" s="4"/>
      <c r="J8" s="4"/>
      <c r="K8" s="1" t="s">
        <v>7</v>
      </c>
      <c r="L8" s="2" t="s">
        <v>8</v>
      </c>
    </row>
    <row r="9" spans="6:12" x14ac:dyDescent="0.3">
      <c r="F9" s="4"/>
      <c r="G9" s="4"/>
      <c r="H9" s="4"/>
      <c r="I9" s="4"/>
      <c r="J9" s="4"/>
      <c r="K9" s="4"/>
      <c r="L9" s="1" t="s">
        <v>8</v>
      </c>
    </row>
    <row r="10" spans="6:12" x14ac:dyDescent="0.3">
      <c r="F10" s="4"/>
      <c r="G10" s="5"/>
      <c r="H10" s="5"/>
      <c r="I10" s="5"/>
      <c r="J10" s="5"/>
      <c r="K10" s="5"/>
      <c r="L10" s="5"/>
    </row>
    <row r="11" spans="6:12" x14ac:dyDescent="0.3">
      <c r="F11" s="9" t="s">
        <v>10</v>
      </c>
      <c r="G11" s="7">
        <v>5</v>
      </c>
      <c r="H11" s="7">
        <v>5</v>
      </c>
      <c r="I11" s="7">
        <v>5</v>
      </c>
      <c r="J11" s="7">
        <v>3</v>
      </c>
      <c r="K11" s="7">
        <v>1</v>
      </c>
      <c r="L11" s="7">
        <v>2</v>
      </c>
    </row>
    <row r="12" spans="6:12" x14ac:dyDescent="0.3">
      <c r="F12" s="9" t="s">
        <v>11</v>
      </c>
      <c r="G12" s="8">
        <f>ROUND(G11/21*100, 2)</f>
        <v>23.81</v>
      </c>
      <c r="H12" s="8">
        <f t="shared" ref="H12:L12" si="0">ROUND(H11/21*100, 2)</f>
        <v>23.81</v>
      </c>
      <c r="I12" s="8">
        <f t="shared" si="0"/>
        <v>23.81</v>
      </c>
      <c r="J12" s="8">
        <f t="shared" si="0"/>
        <v>14.29</v>
      </c>
      <c r="K12" s="8">
        <f t="shared" si="0"/>
        <v>4.76</v>
      </c>
      <c r="L12" s="8">
        <f t="shared" si="0"/>
        <v>9.52</v>
      </c>
    </row>
    <row r="14" spans="6:12" x14ac:dyDescent="0.3">
      <c r="F14" s="10" t="s">
        <v>12</v>
      </c>
      <c r="G14" s="1" t="s">
        <v>15</v>
      </c>
      <c r="H14" s="1" t="s">
        <v>16</v>
      </c>
      <c r="I14" s="1" t="s">
        <v>14</v>
      </c>
    </row>
    <row r="15" spans="6:12" x14ac:dyDescent="0.3">
      <c r="F15" s="10"/>
      <c r="G15" s="3">
        <v>1</v>
      </c>
      <c r="H15" s="3">
        <v>-1</v>
      </c>
      <c r="I15" s="3">
        <v>0</v>
      </c>
    </row>
    <row r="16" spans="6:12" x14ac:dyDescent="0.3">
      <c r="F16" s="10" t="s">
        <v>0</v>
      </c>
      <c r="G16" s="3">
        <v>1</v>
      </c>
      <c r="H16" s="3">
        <v>-1</v>
      </c>
      <c r="I16" s="3">
        <v>0</v>
      </c>
    </row>
    <row r="17" spans="6:9" x14ac:dyDescent="0.3">
      <c r="F17" s="10"/>
      <c r="G17" s="3">
        <v>1</v>
      </c>
      <c r="H17" s="3">
        <v>-1</v>
      </c>
      <c r="I17" s="3">
        <v>0</v>
      </c>
    </row>
    <row r="18" spans="6:9" x14ac:dyDescent="0.3">
      <c r="F18" s="10" t="s">
        <v>1</v>
      </c>
      <c r="G18" s="3">
        <v>-1</v>
      </c>
      <c r="H18" s="3">
        <v>1</v>
      </c>
      <c r="I18" s="3">
        <v>0</v>
      </c>
    </row>
    <row r="19" spans="6:9" x14ac:dyDescent="0.3">
      <c r="F19" s="10"/>
      <c r="G19" s="3">
        <v>-1</v>
      </c>
      <c r="H19" s="3">
        <v>1</v>
      </c>
      <c r="I19" s="3">
        <v>0</v>
      </c>
    </row>
    <row r="20" spans="6:9" x14ac:dyDescent="0.3">
      <c r="F20" s="10" t="s">
        <v>2</v>
      </c>
      <c r="G20" s="3">
        <v>-1</v>
      </c>
      <c r="H20" s="3">
        <v>0</v>
      </c>
      <c r="I20" s="3">
        <v>1</v>
      </c>
    </row>
    <row r="21" spans="6:9" x14ac:dyDescent="0.3">
      <c r="F21" s="10" t="s">
        <v>13</v>
      </c>
      <c r="G21" s="6">
        <f>SUM(G15*G12/100,G16*H12/100,G17*I12/100,G18*J12/100,G19*K12/100,G20*L12/100)</f>
        <v>0.42859999999999993</v>
      </c>
      <c r="H21" s="6">
        <f>SUM(H15*G12/100,H16*H12/100,H17*I12/100,H18*J12/100,H19*K12/100,H20*L12/100)</f>
        <v>-0.52379999999999993</v>
      </c>
      <c r="I21" s="6">
        <f>SUM(I15*G12/100,I16*H12/100,I17*I12/100,I18*J12/100,I19*K12/100,I20*L12/100)</f>
        <v>9.5199999999999993E-2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Salama</dc:creator>
  <cp:lastModifiedBy>Mahmoud Salama</cp:lastModifiedBy>
  <dcterms:created xsi:type="dcterms:W3CDTF">2026-08-20T13:24:09Z</dcterms:created>
  <dcterms:modified xsi:type="dcterms:W3CDTF">2026-09-08T07:07:25Z</dcterms:modified>
</cp:coreProperties>
</file>